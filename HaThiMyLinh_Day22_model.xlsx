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4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  <font>
      <b val="1"/>
      <sz val="9"/>
    </font>
    <font>
      <i val="1"/>
      <color rgb="00555555"/>
      <sz val="9"/>
    </font>
    <font>
      <b val="1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3" fillId="0" borderId="0" pivotButton="0" quotePrefix="0" xfId="0"/>
    <xf numFmtId="164" fontId="0" fillId="0" borderId="0" pivotButton="0" quotePrefix="0" xfId="0"/>
    <xf numFmtId="0" fontId="12" fillId="0" borderId="0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3">
      <c r="E3" s="46" t="inlineStr">
        <is>
          <t>LÝ DO / NGUỒN (P-110, kiểm tra 08/10/2026)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thực đơn tuần (7 ngày × 3 bữa) cho 1 người bệnh, được chuyên gia duyệt (approved) và giao tới người chăm sóc</t>
        </is>
      </c>
      <c r="D5" s="17" t="inlineStr">
        <is>
          <t>Phải là thứ KHÁCH coi là giá trị — không phải '1 request'</t>
        </is>
      </c>
      <c r="E5" s="53" t="inlineStr">
        <is>
          <t>Khách (phòng khám) trả tiền cho thực đơn đã duyệt, không cho lời gọi LLM. Kèm 1 tuần cảnh báo ghi bữa (rule engine, không tốn token)</t>
        </is>
      </c>
    </row>
    <row r="6">
      <c r="A6" s="14" t="inlineStr">
        <is>
          <t>Biến thể HITL: A hay B?</t>
        </is>
      </c>
      <c r="B6" s="13" t="inlineStr">
        <is>
          <t>A</t>
        </is>
      </c>
      <c r="D6" s="17" t="inlineStr">
        <is>
          <t>A = khách tự xử lý ca escalate · B = BẠN chịu (outcome/managed)</t>
        </is>
      </c>
      <c r="E6" s="53" t="inlineStr">
        <is>
          <t>Khách = phòng khám đối tác; chuyên gia CỦA PHÒNG KHÁM duyệt (giờ của họ, ngân sách nhân sự của họ). Thử B (chuyên gia của mình): Cost/Job ≈ $1,51 → giá sàn ≈ 510k₫/người bệnh/tháng, chỉ 13% khảo sát trả nổi &gt; 300k → loại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520</v>
      </c>
      <c r="C9" s="17" t="inlineStr">
        <is>
          <t>job</t>
        </is>
      </c>
      <c r="E9" s="53" t="inlineStr">
        <is>
          <t>1 đối tác × 120 người bệnh (mục tiêu BO-02, KPI_FRAMEWORK) × 4,33 tuần/tháng</t>
        </is>
      </c>
    </row>
    <row r="10">
      <c r="A10" s="14" t="inlineStr">
        <is>
          <t>Containment rate (AI tự làm xong)</t>
        </is>
      </c>
      <c r="B10" s="16" t="n">
        <v>0.7</v>
      </c>
      <c r="D10" s="17" t="inlineStr">
        <is>
          <t>Chưa đo → ước tính và ghi rõ</t>
        </is>
      </c>
      <c r="E10" s="53" t="inlineStr">
        <is>
          <t>ƯỚC TÍNH: % thực đơn nháp được duyệt nguyên bản/đổi ≤1 món. Proxy eval 07/10: 5/7 hồ sơ đạt mọi tiêu chí cứng (71%); BO-03 mục tiêu 75% chưa đo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0.3</v>
      </c>
      <c r="D15" s="17" t="inlineStr">
        <is>
          <t>Claude Haiku 4.5 — xem tab 6_Benchmarks</t>
        </is>
      </c>
      <c r="E15" s="53" t="inlineStr">
        <is>
          <t>Gemini 3.5 Flash-Lite (GEMINI_MODEL trong .env P-110) — ai.google.dev/gemini-api/docs/pricing, 08/10/2026</t>
        </is>
      </c>
    </row>
    <row r="16">
      <c r="A16" s="14" t="inlineStr">
        <is>
          <t>Giá output ($ / 1M token)</t>
        </is>
      </c>
      <c r="B16" s="22" t="n">
        <v>2.5</v>
      </c>
      <c r="E16" s="53" t="inlineStr">
        <is>
          <t>Gemini 3.5 Flash-Lite output, cùng nguồn</t>
        </is>
      </c>
    </row>
    <row r="17">
      <c r="A17" s="14" t="inlineStr">
        <is>
          <t>Giá cache WRITE ($ / 1M token)</t>
        </is>
      </c>
      <c r="B17" s="22" t="n">
        <v>0.3</v>
      </c>
      <c r="D17" s="17" t="inlineStr">
        <is>
          <t>Anthropic 5-phút = 1,25× input</t>
        </is>
      </c>
      <c r="E17" s="53" t="inlineStr">
        <is>
          <t>Gemini implicit caching: lần đầu tính giá input thường, không phụ phí ghi (khác Anthropic 1,25×)</t>
        </is>
      </c>
    </row>
    <row r="18">
      <c r="A18" s="14" t="inlineStr">
        <is>
          <t>Giá cache READ ($ / 1M token)</t>
        </is>
      </c>
      <c r="B18" s="22" t="n">
        <v>0.03</v>
      </c>
      <c r="D18" s="17" t="inlineStr">
        <is>
          <t>≈ 0,1× input (giảm 90%)</t>
        </is>
      </c>
      <c r="E18" s="53" t="inlineStr">
        <is>
          <t>Gemini 3.5 Flash-Lite context caching $0,03/1M (implicit: không phí lưu trữ)</t>
        </is>
      </c>
    </row>
    <row r="19">
      <c r="A19" s="14" t="inlineStr">
        <is>
          <t>Số lượt (turns) / job</t>
        </is>
      </c>
      <c r="B19" s="15" t="n">
        <v>11</v>
      </c>
      <c r="C19" s="17" t="inlineStr">
        <is>
          <t>lượt</t>
        </is>
      </c>
      <c r="E19" s="53" t="inlineStr">
        <is>
          <t>7 lời gọi menu (1/ngày, llm_planner._pick_day) + 4 câu hỏi đáp/tuần (giả định)</t>
        </is>
      </c>
    </row>
    <row r="20">
      <c r="A20" s="14" t="inlineStr">
        <is>
          <t>Token input CACHE ĐƯỢC / lượt</t>
        </is>
      </c>
      <c r="B20" s="15" t="n">
        <v>13000</v>
      </c>
      <c r="C20" s="17" t="inlineStr">
        <is>
          <t>token</t>
        </is>
      </c>
      <c r="D20" s="17" t="inlineStr">
        <is>
          <t>System prompt + KB + few-shot</t>
        </is>
      </c>
      <c r="E20" s="53" t="inlineStr">
        <is>
          <t>Bình quân gia quyền: menu ≈19.500 tok (system 619 + 3×≤40 món ứng viên 18.903 tok, đo tiktoken o200k) × 7; QA ≈1.500 × 4. VIỆC CẦN LÀM: đưa `candidates` lên đầu payload để cache trúng prefix</t>
        </is>
      </c>
    </row>
    <row r="21" ht="15.75" customHeight="1" s="45">
      <c r="A21" s="14" t="inlineStr">
        <is>
          <t>Token input FRESH / lượt</t>
        </is>
      </c>
      <c r="B21" s="15" t="n">
        <v>1800</v>
      </c>
      <c r="C21" s="17" t="inlineStr">
        <is>
          <t>token</t>
        </is>
      </c>
      <c r="D21" s="17" t="inlineStr">
        <is>
          <t>Câu hỏi khách + dữ liệu động</t>
        </is>
      </c>
      <c r="E21" s="53" t="inlineStr">
        <is>
          <t>Menu: hồ sơ + limits + personalization + guidelines ≈2.000 tok; QA ≈1.500 tok (giả định)</t>
        </is>
      </c>
    </row>
    <row r="22" ht="15.75" customHeight="1" s="45">
      <c r="A22" s="14" t="inlineStr">
        <is>
          <t>Token output / lượt</t>
        </is>
      </c>
      <c r="B22" s="15" t="n">
        <v>360</v>
      </c>
      <c r="C22" s="17" t="inlineStr">
        <is>
          <t>token</t>
        </is>
      </c>
      <c r="E22" s="53" t="inlineStr">
        <is>
          <t>DayPick 3 bữa kèm `reason` ≈400 tok; câu trả lời QA ≈300 tok (giả định, chưa đo log)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  <c r="E30" s="53" t="inlineStr">
        <is>
          <t>Để 0: hỏi đáp cần realtime. Con số thứ 2: thực đơn tuần sinh trước tối Chủ nhật → batch được phần menu (~75% chi phí LLM) → LLM/job ≈ $0,0148 thay $0,0236; Cost/Job giảm ≈ $0,014 (−3%) — không đáng ưu tiên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Deepgram streaming list $0,0077/phút</t>
        </is>
      </c>
      <c r="E34" s="53" t="inlineStr">
        <is>
          <t>STT dùng Web Speech API của trình duyệt (frontend/apps/patient/.../useSpeech.ts) → $0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  <c r="E35" s="53" t="inlineStr">
        <is>
          <t>Không gọi STT trả phí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  <c r="E36" s="53" t="inlineStr">
        <is>
          <t>Không có TTS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  <c r="E37" s="53" t="inlineStr">
        <is>
          <t>Không có TTS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0.236</v>
      </c>
      <c r="D41" s="17" t="inlineStr">
        <is>
          <t>Vector DB, embedding, storage, logging</t>
        </is>
      </c>
      <c r="E41" s="53" t="inlineStr">
        <is>
          <t>Tính: DigitalOcean Basic 4 vCPU/8 GB $48 + backup hằng ngày 30% = $62,4/tháng ÷ 520 job ($0,120; digitalocean.com/pricing/droplets, 08/10/2026) + ảnh 7/tuần × ≈$0,004 gpt-4o-mini ($0,028) + Zalo ZNS 7 tin/tuần × 330₫ (200₫ tin thông báo + 100₫ nút liên kết OA + VAT 10%; oazns.vn/bang-gia-zns, 08/10/2026) = $0,088</t>
        </is>
      </c>
    </row>
    <row r="42" ht="15.75" customHeight="1" s="45">
      <c r="A42" s="14" t="inlineStr">
        <is>
          <t>Telephony ($ / phút)</t>
        </is>
      </c>
      <c r="B42" s="29" t="n">
        <v>0</v>
      </c>
      <c r="E42" s="53" t="inlineStr">
        <is>
          <t>Không có telephony</t>
        </is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0.1</v>
      </c>
      <c r="D46" s="17" t="inlineStr">
        <is>
          <t>ĐỪNG để 0%. Thực tế 5–10% là bình thường</t>
        </is>
      </c>
      <c r="E46" s="53" t="inlineStr">
        <is>
          <t>GEMINI_MAX_ATTEMPTS=2, quota 5 RPM, timeout 12s → fallback luật; cộng lần sinh lại khi chuyên gia yêu cầu đổi. Lấy 10% (biên trên thông lệ 5–10%)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5</v>
      </c>
      <c r="D50" s="17" t="inlineStr">
        <is>
          <t>Gồm lương + bảo hiểm + quản lý + chỗ ngồi</t>
        </is>
      </c>
      <c r="E50" s="53" t="inlineStr">
        <is>
          <t>Chuyên gia dinh dưỡng: lương 15 tr₫ (tin tuyển dụng Hà Nội 2026: 11–15 tr, 12–18 tr — 123job.vn, joboko.com; lấy giữa khoảng) × 1,4 (BHXH, quản lý, chỗ ngồi) ÷ 160 h = 131k₫/h ÷ 26.160 = $5,0/h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  <c r="E51" s="53" t="inlineStr">
        <is>
          <t>QA nội bộ của nhóm: 5% thực đơn đã duyệt (chuyên gia phòng khám duyệt 100% — chi phí của khách, biến thể A)</t>
        </is>
      </c>
    </row>
    <row r="52" ht="15.75" customHeight="1" s="45">
      <c r="A52" s="14" t="inlineStr">
        <is>
          <t>Số phút QA / ca</t>
        </is>
      </c>
      <c r="B52" s="21" t="n">
        <v>5</v>
      </c>
      <c r="C52" s="17" t="inlineStr">
        <is>
          <t>phút</t>
        </is>
      </c>
      <c r="E52" s="53" t="inlineStr">
        <is>
          <t>PE-04 mục tiêu ≤4 phút/thực đơn, chưa đo → lấy 5 phút cho thận trọng</t>
        </is>
      </c>
    </row>
    <row r="53" ht="15.75" customHeight="1" s="45">
      <c r="A53" s="14" t="inlineStr">
        <is>
          <t>Số phút xử lý 1 ca escalate</t>
        </is>
      </c>
      <c r="B53" s="21" t="n">
        <v>15</v>
      </c>
      <c r="C53" s="17" t="inlineStr">
        <is>
          <t>phút</t>
        </is>
      </c>
      <c r="E53" s="53" t="inlineStr">
        <is>
          <t>Biến thể A → không vào COGS. Ghi để tham chiếu: soạn lại thực đơn bị từ chối ≈15 phút (giả định)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56</v>
      </c>
      <c r="D59" s="17" t="inlineStr">
        <is>
          <t>Để 0 nếu chỉ muốn xem Cost/Job thuần COGS</t>
        </is>
      </c>
      <c r="E59" s="53" t="inlineStr">
        <is>
          <t>Phân bổ cho 1 đối tác: hỗ trợ/account 10 h/tháng × $5 = $50 + gói Zalo OA PRO 165.000₫ ($6,3). Không gồm lương đội R&amp;D (giai đoạn sinh viên)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26160</v>
      </c>
      <c r="C68" s="17" t="inlineStr">
        <is>
          <t>₫/USD</t>
        </is>
      </c>
      <c r="D68" s="17" t="inlineStr">
        <is>
          <t>Thay bằng tỷ giá thực tế khi làm bài</t>
        </is>
      </c>
      <c r="E68" s="53" t="inlineStr">
        <is>
          <t>Vietcombank bán ra 08/10/2026 12:10 (webgia.com/ty-gia/vietcombank/08-10-2026.html) — giá mình phải mua USD để trả API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3">
      <c r="E3" s="46" t="inlineStr">
        <is>
          <t>LÝ DO / NGUỒN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  <c r="E6" s="53" t="inlineStr">
        <is>
          <t>Giữ quy ước bài lab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1083</v>
      </c>
      <c r="D10" s="17" t="inlineStr">
        <is>
          <t>Neo theo giá trị</t>
        </is>
      </c>
      <c r="E10" s="53" t="inlineStr">
        <is>
          <t>Giờ chuyên gia tiết kiệm: 520 thực đơn × 25 phút (soạn tay ≈30' → duyệt nháp ≈5', GIẢ ĐỊNH, đo ở pilot) = 217 h × $5,0</t>
        </is>
      </c>
    </row>
    <row r="11">
      <c r="A11" s="14" t="inlineStr">
        <is>
          <t>Số job / tháng của 1 khách</t>
        </is>
      </c>
      <c r="B11" s="15" t="n">
        <v>520</v>
      </c>
      <c r="C11" s="17" t="inlineStr">
        <is>
          <t>job</t>
        </is>
      </c>
      <c r="E11" s="53" t="inlineStr">
        <is>
          <t>Lấy theo 1_Cost_Job!B9 (1 phòng khám, 120 người bệnh)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931</v>
      </c>
      <c r="D14" s="17" t="inlineStr">
        <is>
          <t>Neo theo nhân công</t>
        </is>
      </c>
      <c r="E14" s="53" t="inlineStr">
        <is>
          <t>Soạn tay 520 thực đơn × 30' = 260 h = 1,63 FTE × lương 15 tr₫ ($573) — vị trí chuyên gia soạn thực đơn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1.24</v>
      </c>
      <c r="C19" s="17" t="inlineStr">
        <is>
          <t>$/job</t>
        </is>
      </c>
      <c r="D19" s="17" t="inlineStr">
        <is>
          <t>Tham chiếu: Intercom Fin $0,99 · Zendesk $1,50</t>
        </is>
      </c>
      <c r="E19" s="53" t="inlineStr">
        <is>
          <t>Tính: 140.000₫/người bệnh/tháng ÷ 4,33 tuần ÷ 26.160. Lịch sử: 110k → 135k (thêm phí Zalo ZNS) → 140k (thay ước tính bằng giá có nguồn: VPS $62,4, ZNS 330₫ có VAT; 135k chỉ còn 2,95×). Giá = 66–69% chi phí soạn tay → đã sát trần neo nhân công: lần tăng chi phí tới phải cắt chi phí, không tăng giá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  <c r="E32" s="53" t="inlineStr">
        <is>
          <t>Ngưỡng an toàn của bài; benchmark AI-native 2026E ≈53% (ICONIQ)</t>
        </is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>
      <c r="A55" s="51" t="inlineStr">
        <is>
          <t>SỐ SUY RA DÙNG TRONG ONE-PAGER</t>
        </is>
      </c>
    </row>
    <row r="56" ht="15.75" customHeight="1" s="45">
      <c r="A56" s="0" t="inlineStr">
        <is>
          <t>Containment để GM tụt xuống 50%</t>
        </is>
      </c>
      <c r="B56" s="52">
        <f>(B29+B30+B31)/(B19*0.5+B31)</f>
        <v/>
      </c>
      <c r="C56" s="0" t="inlineStr"/>
      <c r="E56" s="48" t="inlineStr">
        <is>
          <t>Cùng công thức B33, thay GM 60% bằng 50%</t>
        </is>
      </c>
    </row>
    <row r="57" ht="15.75" customHeight="1" s="45">
      <c r="A57" s="0" t="inlineStr">
        <is>
          <t>Số người bệnh / đối tác để GM tụt xuống 50%</t>
        </is>
      </c>
      <c r="B57" s="0">
        <f>62.4/(4.33*(0.5*B19*B34-(B29-62.4/'1_Cost_Job'!B9)-B30))</f>
        <v/>
      </c>
      <c r="C57" s="0" t="inlineStr">
        <is>
          <t>người bệnh</t>
        </is>
      </c>
      <c r="E57" s="48" t="inlineStr">
        <is>
          <t>Hạ tầng cố định $62,4/tháng chia cho ít job hơn</t>
        </is>
      </c>
    </row>
    <row r="58" ht="15.75" customHeight="1" s="45">
      <c r="A58" s="0" t="inlineStr">
        <is>
          <t>Phí ZNS thực tế gấp bao nhiêu lần thì GM tụt xuống 50%</t>
        </is>
      </c>
      <c r="B58" s="0">
        <f>1+(0.5*B19*B34-B29-B30)/0.0883</f>
        <v/>
      </c>
      <c r="C58" s="0" t="inlineStr">
        <is>
          <t>lần</t>
        </is>
      </c>
      <c r="E58" s="48" t="inlineStr">
        <is>
          <t>ZNS hiện $0,0883/job (7 tin × 330₫)</t>
        </is>
      </c>
    </row>
    <row r="59" ht="15.75" customHeight="1" s="45">
      <c r="A59" s="0" t="inlineStr">
        <is>
          <t>Giá bán / chi phí soạn tay 1 thực đơn</t>
        </is>
      </c>
      <c r="B59" s="52">
        <f>B19/(B14/B11)</f>
        <v/>
      </c>
      <c r="C59" s="0" t="inlineStr"/>
      <c r="E59" s="48" t="inlineStr">
        <is>
          <t>Kiểm tra neo nhân công 50–70%</t>
        </is>
      </c>
    </row>
    <row r="60" ht="15.75" customHeight="1" s="45">
      <c r="A60" s="0" t="inlineStr">
        <is>
          <t>Phút soạn tay tối thiểu để giá còn dưới trần 70%</t>
        </is>
      </c>
      <c r="B60" s="0">
        <f>30*(B19*B11/0.7)/B14</f>
        <v/>
      </c>
      <c r="C60" s="0" t="inlineStr">
        <is>
          <t>phút</t>
        </is>
      </c>
      <c r="E60" s="48" t="inlineStr">
        <is>
          <t>B14 giả định 30 phút/thực đơn; dưới ngưỡng này giá vượt trần nhân công</t>
        </is>
      </c>
    </row>
    <row r="61" ht="15.75" customHeight="1" s="45">
      <c r="A61" s="0" t="inlineStr">
        <is>
          <t>Cost/Job nếu prompt cache KHÔNG trúng</t>
        </is>
      </c>
      <c r="B61" s="0">
        <f>B5+('1_Cost_Job'!B28-'1_Cost_Job'!B27)*(1+'1_Cost_Job'!B46)*'1_Cost_Job'!B9/'1_Cost_Job'!B11</f>
        <v/>
      </c>
      <c r="C61" s="0" t="inlineStr">
        <is>
          <t>$/job</t>
        </is>
      </c>
      <c r="E61" s="48" t="inlineStr">
        <is>
          <t>Code hiện tại chưa cache được (candidates đứng sau day_index)</t>
        </is>
      </c>
    </row>
    <row r="62" ht="15.75" customHeight="1" s="45">
      <c r="A62" s="0" t="inlineStr">
        <is>
          <t>GM nếu prompt cache KHÔNG trúng</t>
        </is>
      </c>
      <c r="B62" s="52">
        <f>1-B61/B19</f>
        <v/>
      </c>
      <c r="C62" s="0" t="inlineStr"/>
      <c r="E62" s="48" t="inlineStr">
        <is>
          <t>Vẫn ≥ 60% → caching là tối ưu, không phải điều kiện sống còn (7 lời gọi menu chạy song song nên cache khó trúng)</t>
        </is>
      </c>
    </row>
    <row r="63" ht="15.75" customHeight="1" s="45">
      <c r="A63" s="0" t="inlineStr">
        <is>
          <t>Cost/Job có overhead · GM có overhead</t>
        </is>
      </c>
      <c r="B63" s="0">
        <f>'1_Cost_Job'!B67</f>
        <v/>
      </c>
      <c r="C63" s="52">
        <f>1-B63/B19</f>
        <v/>
      </c>
      <c r="E63" s="48" t="inlineStr">
        <is>
          <t>GM có overhead = 1 − B63/B19 (ô C63)</t>
        </is>
      </c>
    </row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3">
      <c r="E3" s="46" t="inlineStr">
        <is>
          <t>BẰNG CHỨNG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2</v>
      </c>
      <c r="E5" s="53" t="inlineStr">
        <is>
          <t>Có: agent_runs, plan_review_events, version thực đơn — mỗi thực đơn nối được tới quyết định duyệt</t>
        </is>
      </c>
    </row>
    <row r="6">
      <c r="A6" s="14" t="inlineStr">
        <is>
          <t>2. Tôi có bộ eval đo được tỷ lệ AI làm đúng, có số liệu</t>
        </is>
      </c>
      <c r="B6" s="13" t="n">
        <v>1</v>
      </c>
      <c r="E6" s="53" t="inlineStr">
        <is>
          <t>Có eval tái lập (eval/results/report.md 07/10) nhưng bộ dữ liệu tự soạn, golden set chưa chuyên gia duyệt</t>
        </is>
      </c>
    </row>
    <row r="7">
      <c r="A7" s="14" t="inlineStr">
        <is>
          <t>3. Khách hàng đồng ý với cách tôi định nghĩa 'thành công' của một job</t>
        </is>
      </c>
      <c r="B7" s="13" t="n">
        <v>0</v>
      </c>
      <c r="E7" s="53" t="inlineStr">
        <is>
          <t>Chưa có khách nào đồng ý định nghĩa 'thực đơn đạt'</t>
        </is>
      </c>
    </row>
    <row r="8">
      <c r="A8" s="14" t="inlineStr">
        <is>
          <t>4. Tôi phân biệt được kết quả do AI tạo ra với kết quả do yếu tố khác</t>
        </is>
      </c>
      <c r="B8" s="13" t="n">
        <v>1</v>
      </c>
      <c r="E8" s="53" t="inlineStr">
        <is>
          <t>Thực đơn là sản phẩm của AI + chuyên gia; chưa tách được phần đóng góp, chưa đo kết quả sức khoẻ</t>
        </is>
      </c>
    </row>
    <row r="9">
      <c r="A9" s="14" t="inlineStr">
        <is>
          <t>5. Tôi viết được định nghĩa chặt như Intercom: cái gì tính tiền, cái gì không</t>
        </is>
      </c>
      <c r="B9" s="13" t="n">
        <v>2</v>
      </c>
      <c r="E9" s="53" t="inlineStr">
        <is>
          <t>Viết được: job = thực đơn trạng thái approved, đủ 21 bữa, 100% bữa có nguồn; bị từ chối/soạn lại không tính</t>
        </is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0</v>
      </c>
      <c r="E13" s="53" t="inlineStr">
        <is>
          <t>HITL bắt buộc: trigger DB chặn mọi thực đơn chưa duyệt (ràng buộc thiết kế)</t>
        </is>
      </c>
    </row>
    <row r="14">
      <c r="A14" s="14" t="inlineStr">
        <is>
          <t>2. Job chạy được ngoài giờ hành chính mà không ai trực</t>
        </is>
      </c>
      <c r="B14" s="13" t="n">
        <v>1</v>
      </c>
      <c r="E14" s="53" t="inlineStr">
        <is>
          <t>Cảnh báo ghi bữa chạy 24/7; thực đơn chờ chuyên gia trong giờ làm (BO-04 ≤12h)</t>
        </is>
      </c>
    </row>
    <row r="15">
      <c r="A15" s="14" t="inlineStr">
        <is>
          <t>3. Khi AI không chắc, nó tự chuyển tiếp đúng chỗ — không cần người phân loại</t>
        </is>
      </c>
      <c r="B15" s="13" t="n">
        <v>2</v>
      </c>
      <c r="E15" s="53" t="inlineStr">
        <is>
          <t>Tự chuyển pending_review tới đúng chuyên gia được phân công; critic tự replan</t>
        </is>
      </c>
    </row>
    <row r="16">
      <c r="A16" s="14" t="inlineStr">
        <is>
          <t>4. Tỷ lệ ca phải có người can thiệp dưới 20%</t>
        </is>
      </c>
      <c r="B16" s="13" t="n">
        <v>0</v>
      </c>
      <c r="E16" s="53" t="inlineStr">
        <is>
          <t>100% thực đơn có người duyệt (ràng buộc thiết kế)</t>
        </is>
      </c>
    </row>
    <row r="17">
      <c r="A17" s="14" t="inlineStr">
        <is>
          <t>5. Người vận hành chỉ kiểm tra mẫu (QA), không xử lý từng ca</t>
        </is>
      </c>
      <c r="B17" s="13" t="n">
        <v>0</v>
      </c>
      <c r="E17" s="53" t="inlineStr">
        <is>
          <t>Chuyên gia duyệt từng thực đơn, không phải lấy mẫu</t>
        </is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The Meal (THE MEAL VN JSC)</t>
        </is>
      </c>
      <c r="B26" s="5" t="inlineStr">
        <is>
          <t>Seat — thuê bao/người dùng/tháng</t>
        </is>
      </c>
      <c r="C26" s="5" t="inlineStr">
        <is>
          <t>Plus 79.000₫ · Pro 149.000₫/tháng (Pro năm 799.000₫)</t>
        </is>
      </c>
      <c r="D26" s="5" t="inlineStr">
        <is>
          <t>apps.apple.com/vn/app/id6747251065 (kiểm tra 08/10/2026)</t>
        </is>
      </c>
    </row>
    <row r="27" ht="15.75" customHeight="1" s="45">
      <c r="A27" s="5" t="inlineStr">
        <is>
          <t>Nutrium — phần mềm cho chuyên gia dinh dưỡng (B2B, cùng người mua với mình)</t>
        </is>
      </c>
      <c r="B27" s="5" t="inlineStr">
        <is>
          <t>Seat — theo chuyên gia/tháng, không giới hạn người bệnh</t>
        </is>
      </c>
      <c r="C27" s="5" t="inlineStr">
        <is>
          <t>$19/tháng (trả năm) · $39/tháng (trả tháng); gói 10 khách $15–25</t>
        </is>
      </c>
      <c r="D27" s="5" t="inlineStr">
        <is>
          <t>nutrium.com/en/pricing (kiểm tra 08/10/2026)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Hybrid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Không khác gợi ý (SEAT hoặc HYBRID). Hybrid vì người bệnh đổi chế độ (bệnh/thuốc/xét nghiệm thay đổi) cần thêm thực đơn ngoài lịch tuần — phần này phải tính theo lượt để không lỗ.</t>
        </is>
      </c>
    </row>
    <row r="32" ht="15.75" customHeight="1" s="45">
      <c r="A32" s="14" t="inlineStr">
        <is>
          <t>Decision Note — câu 1: tôi chọn đơn vị nào?</t>
        </is>
      </c>
      <c r="B32" s="5" t="inlineStr">
        <is>
          <t>Phí nền 140.000₫/người bệnh đang theo dõi/tháng (phòng khám trả) mua: 1 suất theo dõi = tối đa 5 thực đơn tuần đã duyệt + cảnh báo ghi bữa không giới hạn + báo cáo tuần. Usage: thực đơn duyệt thêm ngoài 5 suất = 32.000₫/thực đơn (= giá $1,24/job). Tháng không có thực đơn nào được duyệt thì không tính phí nền.</t>
        </is>
      </c>
      <c r="E32" s="53" t="inlineStr">
        <is>
          <t>Ngưỡng an toàn của bài; benchmark AI-native 2026E ≈53% (ICONIQ)</t>
        </is>
      </c>
    </row>
    <row r="33" ht="15.75" customHeight="1" s="45">
      <c r="A33" s="14" t="inlineStr">
        <is>
          <t>Decision Note — câu 2: bằng chứng Attribution / Autonomy?</t>
        </is>
      </c>
      <c r="B33" s="5" t="inlineStr">
        <is>
          <t>Attribution 6/10: có log + eval, nhưng chưa khách nào ký định nghĩa thành công. Autonomy 3/10 vì 100% thực đơn phải có người duyệt — đúng thiết kế an toàn, nên không bán Outcome thuần.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5" t="inlineStr">
        <is>
          <t>GM &lt; 50% khi containment &lt; 46% (chuyên gia từ chối phần lớn nháp → khách thấy không tiết kiệm giờ), hoặc khi 1 đối tác dưới ~53 người bệnh (hạ tầng cố định $62,4/tháng chia cho ít job), hoặc khi phí Zalo ZNS thực tế gấp ~2,7 lần 330₫/tin (xem 2_Pricing!B56:B58).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3">
      <c r="E3" s="46" t="inlineStr">
        <is>
          <t>LÝ DO / NGUỒN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642</v>
      </c>
      <c r="E5" s="53" t="inlineStr">
        <is>
          <t>120 người bệnh × 140.000₫ = 16,8 tr₫ ÷ 26.160 = $642/phòng khám/tháng</t>
        </is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  <c r="E7" s="53" t="inlineStr">
        <is>
          <t>Phòng khám/khoa dinh dưỡng, 1–5 chuyên gia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120000</v>
      </c>
      <c r="D13" s="17" t="inlineStr">
        <is>
          <t>Giả định gốc của Tunguz (2016) — thay bằng số thị trường bạn</t>
        </is>
      </c>
      <c r="E13" s="53" t="inlineStr">
        <is>
          <t>GIẢ ĐỊNH thị trường VN: quota ≈3,1 tỷ₫/AE/năm (Tunguz $500k là số Mỹ)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6300</v>
      </c>
      <c r="D20" s="17" t="inlineStr">
        <is>
          <t>ICONIQ 2026 theo phân khúc: $6.300 · $8.000 · $11.200</t>
        </is>
      </c>
      <c r="E20" s="53" t="inlineStr">
        <is>
          <t>ICONIQ 2026 mức SMB (số Mỹ, chưa có số VN). Hòa vốn: Sales-Led chỉ khả thi nếu cost/opportunity ≤ ngân sách CAC × win rate ≈ $1.300 — tức VN phải rẻ hơn Mỹ ~5 lần. Chưa chứng minh được → không đặt cược 90 ngày vào đó</t>
        </is>
      </c>
    </row>
    <row r="21" ht="15.75" customHeight="1" s="45">
      <c r="A21" s="14" t="inlineStr">
        <is>
          <t>Win rate</t>
        </is>
      </c>
      <c r="B21" s="16" t="n">
        <v>0.25</v>
      </c>
      <c r="E21" s="53" t="inlineStr">
        <is>
          <t>Giữ giả định của bài — chưa có dữ liệu bán hàng</t>
        </is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2</v>
      </c>
      <c r="C28" s="13" t="n">
        <v>1</v>
      </c>
      <c r="D28" s="13" t="n">
        <v>4</v>
      </c>
      <c r="E28" s="48" t="inlineStr">
        <is>
          <t>CAC Sales-Led ≈ 5,8× ngân sách (B23); PLG B2C: 58% chỉ trả &lt;100k₫</t>
        </is>
      </c>
    </row>
    <row r="29" ht="15.75" customHeight="1" s="45">
      <c r="A29" s="14" t="inlineStr">
        <is>
          <t>2. Khách hàng mục tiêu thực sự mua theo cách này</t>
        </is>
      </c>
      <c r="B29" s="13" t="n">
        <v>2</v>
      </c>
      <c r="C29" s="13" t="n">
        <v>3</v>
      </c>
      <c r="D29" s="13" t="n">
        <v>4</v>
      </c>
      <c r="E29" s="48" t="inlineStr">
        <is>
          <t>Người bệnh tin thực đơn khi chuyên gia duyệt (30%) / có căn cứ y khoa (35%) — niềm tin đi qua cơ sở y tế</t>
        </is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2</v>
      </c>
      <c r="D30" s="13" t="n">
        <v>3</v>
      </c>
      <c r="E30" s="48" t="inlineStr">
        <is>
          <t>Đội là sinh viên kỹ thuật/BA, chưa có người bán hàng</t>
        </is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4</v>
      </c>
      <c r="C31" s="13" t="n">
        <v>3</v>
      </c>
      <c r="D31" s="13" t="n">
        <v>2</v>
      </c>
      <c r="E31" s="48" t="inlineStr">
        <is>
          <t>PLG lên store được ngay; partner chưa nói chuyện — trung thực chấm thấp</t>
        </is>
      </c>
    </row>
    <row r="32" ht="15.75" customHeight="1" s="45">
      <c r="A32" s="14" t="inlineStr">
        <is>
          <t>5. Kênh này đưa tôi đến ĐÚNG Pain Moment</t>
        </is>
      </c>
      <c r="B32" s="13" t="n">
        <v>2</v>
      </c>
      <c r="C32" s="13" t="n">
        <v>3</v>
      </c>
      <c r="D32" s="13" t="n">
        <v>4</v>
      </c>
      <c r="E32" s="48" t="inlineStr">
        <is>
          <t>Người chăm sóc nhận lời dặn lúc tái khám/ra viện → điểm chạm tự nhiên là cơ sở y tế</t>
        </is>
      </c>
    </row>
    <row r="33" ht="15.75" customHeight="1" s="45">
      <c r="A33" s="14" t="inlineStr">
        <is>
          <t>6. Tôi đo được hiệu quả trong vòng 90 ngày</t>
        </is>
      </c>
      <c r="B33" s="13" t="n">
        <v>4</v>
      </c>
      <c r="C33" s="13" t="n">
        <v>2</v>
      </c>
      <c r="D33" s="13" t="n">
        <v>3</v>
      </c>
      <c r="E33" s="48" t="inlineStr">
        <is>
          <t>Pilot 1 đối tác đo được PE-04, BO-03 trong 4 tuần</t>
        </is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Partner-Led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Viện Dinh dưỡng Quốc gia — Trung tâm Khám tư vấn dinh dưỡng (Hà Nội)</t>
        </is>
      </c>
      <c r="D39" s="17" t="inlineStr">
        <is>
          <t>'Các nền tảng trong ngành' = chưa có kênh</t>
        </is>
      </c>
      <c r="E39" s="53" t="inlineStr">
        <is>
          <t>Đơn vị đã có VNeNUTRITION + phòng khám; COMPETITOR_ANALYSIS §4.3 khuyên hợp tác dữ liệu thay vì cạnh tranh CSDL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Chưa</t>
        </is>
      </c>
    </row>
    <row r="41" ht="15.75" customHeight="1" s="45">
      <c r="A41" s="14" t="inlineStr">
        <is>
          <t>Bạn mang lại giá trị gì cho partner?</t>
        </is>
      </c>
      <c r="B41" s="5" t="inlineStr">
        <is>
          <t>Thấy người bệnh thực sự ăn gì giữa 2 lần tái khám; chuyên gia duyệt nháp ~5' thay soạn ~30' → theo dõi được nhiều người hơn; dòng thu mới (gói theo dõi ngoại trú từ xa); đưa CSDL VNeNUTRITION vào bữa ăn hằng ngày.</t>
        </is>
      </c>
    </row>
    <row r="42" ht="15.75" customHeight="1" s="45">
      <c r="A42" s="14" t="inlineStr">
        <is>
          <t>Nếu rơi vào vùng không khả thi — lối thoát nào?</t>
        </is>
      </c>
      <c r="B42" s="5" t="inlineStr">
        <is>
          <t>Nếu Viện không nhận pilot trong 30 ngày: cùng mô hình với khoa Dinh dưỡng một BV tuyến tỉnh hoặc phòng khám dinh dưỡng tư nhân. Nếu Cost/Job tăng: tăng giá + bán kèm giờ chuyên gia (service).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5h30–6h30 sáng (bữa sáng khó nhất: 51% khảo sát, câu 4)</t>
        </is>
      </c>
    </row>
    <row r="6">
      <c r="A6" s="14" t="inlineStr">
        <is>
          <t>Lúc đó họ ĐANG LÀM GÌ?</t>
        </is>
      </c>
      <c r="B6" s="5" t="inlineStr">
        <is>
          <t>Người chăm sóc đứng bếp nghĩ bữa sáng cho người bệnh ĐTĐ/THA — 48% chỉ dựa vào cảm tính</t>
        </is>
      </c>
    </row>
    <row r="7">
      <c r="A7" s="14" t="inlineStr">
        <is>
          <t>Họ đang DÙNG APP / KÊNH NÀO?</t>
        </is>
      </c>
      <c r="B7" s="5" t="inlineStr">
        <is>
          <t>Zalo trên điện thoại (nhóm gia đình, OA của cơ sở y tế). Zalo có 81,3 triệu người dùng/tháng (báo cáo Zalo 6/2026, Znews 31/07/2026); chưa hỏi riêng nhóm người chăm sóc — kiểm chứng ở phỏng vấn tháng 1</t>
        </is>
      </c>
    </row>
    <row r="8">
      <c r="A8" s="14" t="inlineStr">
        <is>
          <t>→ Điểm nhúng cụ thể của bạn</t>
        </is>
      </c>
      <c r="B8" s="5" t="inlineStr">
        <is>
          <t>Zalo OA của Trung tâm Khám tư vấn dinh dưỡng: tin 5h45 'Bữa sáng hôm nay đã được chuyên gia duyệt' + link mở web app người chăm sóc (ghi bữa bằng giọng nói)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Partner-Led: Viện DD Quốc gia (pilot miễn phí)</t>
        </is>
      </c>
      <c r="C12" s="41" t="inlineStr">
        <is>
          <t>Partner-Led: cùng đối tác, chuyển sang trả phí</t>
        </is>
      </c>
      <c r="D12" s="41" t="inlineStr">
        <is>
          <t>Partner-Led: nhân bản qua giới thiệu của Viện</t>
        </is>
      </c>
    </row>
    <row r="13" ht="30" customHeight="1" s="45">
      <c r="A13" s="14" t="inlineStr">
        <is>
          <t>Mục tiêu số khách</t>
        </is>
      </c>
      <c r="B13" s="41" t="inlineStr">
        <is>
          <t>1 đối tác · 20 người bệnh</t>
        </is>
      </c>
      <c r="C13" s="41" t="inlineStr">
        <is>
          <t>1 đối tác · 120 người bệnh trả phí</t>
        </is>
      </c>
      <c r="D13" s="41" t="inlineStr">
        <is>
          <t>3 đối tác · 360 người bệnh</t>
        </is>
      </c>
    </row>
    <row r="14" ht="30" customHeight="1" s="45">
      <c r="A14" s="14" t="inlineStr">
        <is>
          <t>Việc cụ thể 1</t>
        </is>
      </c>
      <c r="B14" s="41" t="inlineStr">
        <is>
          <t>Linh + Hưng gặp trưởng Trung tâm (tuần 1–2), mang Evidence Pack</t>
        </is>
      </c>
      <c r="C14" s="41" t="inlineStr">
        <is>
          <t>Ký hợp đồng 140.000₫/người bệnh/tháng</t>
        </is>
      </c>
      <c r="D14" s="41" t="inlineStr">
        <is>
          <t>Chỉ mở rộng nếu Pilot Report đạt GM thực ≥ 60% và duyệt nguyên bản ≥ 75%</t>
        </is>
      </c>
    </row>
    <row r="15" ht="30" customHeight="1" s="45">
      <c r="A15" s="14" t="inlineStr">
        <is>
          <t>Việc cụ thể 2</t>
        </is>
      </c>
      <c r="B15" s="41" t="inlineStr">
        <is>
          <t>Sửa 3 lỗi eval mở: GI ≥ 70, lặp món thận mạn, 20 món chưa duyệt</t>
        </is>
      </c>
      <c r="C15" s="41" t="inlineStr">
        <is>
          <t>Hưng tích hợp Zalo ZNS (API Zalo Cloud) tuần 5–6, bật tin 5h45; đưa candidates lên đầu prompt để cache trúng</t>
        </is>
      </c>
      <c r="D15" s="41" t="inlineStr">
        <is>
          <t>Ngách tiếp: khoa Dinh dưỡng BV tuyến tỉnh có nhiều người bệnh ĐTĐ + thận mạn</t>
        </is>
      </c>
    </row>
    <row r="16" ht="30" customHeight="1" s="45">
      <c r="A16" s="14" t="inlineStr">
        <is>
          <t>Việc cụ thể 3</t>
        </is>
      </c>
      <c r="B16" s="41" t="inlineStr">
        <is>
          <t>Pilot 4 tuần; đo TRƯỚC: phút soạn tay 1 thực đơn hiện nay (giả định 30' — dưới ~30' thì neo giá gãy); thu: phút duyệt nháp, tỷ lệ duyệt nguyên bản, lý do đổi món, giờ mở app</t>
        </is>
      </c>
      <c r="C16" s="41" t="inlineStr">
        <is>
          <t>Viết Pilot Report có số thật; phỏng vấn 8–10 người chăm sóc về Zalo</t>
        </is>
      </c>
      <c r="D16" s="41" t="inlineStr">
        <is>
          <t>Báo cáo tuần tự sinh theo lịch; 1 chuyên gia theo dõi 120 người</t>
        </is>
      </c>
    </row>
    <row r="17" ht="30" customHeight="1" s="45">
      <c r="A17" s="14" t="inlineStr">
        <is>
          <t>KPI đo được</t>
        </is>
      </c>
      <c r="B17" s="41" t="inlineStr">
        <is>
          <t>PE-04 ≤5'/thực đơn · BO-03 ≥70% · D30 ≥65%</t>
        </is>
      </c>
      <c r="C17" s="41" t="inlineStr">
        <is>
          <t>GM thực ≥60% · BO-03 ≥75% · 0 ca vi phạm lọt</t>
        </is>
      </c>
      <c r="D17" s="41" t="inlineStr">
        <is>
          <t>3 hợp đồng · churn đối tác = 0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Linh (BA/eval, đầu mối đối tác) + Hưng (planner)</t>
        </is>
      </c>
      <c r="C18" s="41" t="inlineStr">
        <is>
          <t>Linh (hợp đồng, Pilot Report) + Hưng (Zalo ZNS)</t>
        </is>
      </c>
      <c r="D18" s="41" t="inlineStr">
        <is>
          <t>Linh (đối tác mới) + Hưng (vận hành)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Một phần</t>
        </is>
      </c>
      <c r="C23" s="41" t="inlineStr">
        <is>
          <t>Parse món+gram 32/32; phát hiện vi phạm 13/14; RAG hit@3 90%, 16/16 câu lạc đề bị từ chối; 7/7 thực đơn dừng ở pending_review — trên dữ liệu nhóm tự soạn</t>
        </is>
      </c>
      <c r="D23" s="41" t="inlineStr">
        <is>
          <t>Linh · thêm bộ ảnh có nhãn + golden set chuyên gia duyệt trước 31/10/2026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Một phần</t>
        </is>
      </c>
      <c r="C24" s="41" t="inlineStr">
        <is>
          <t>Hallucinate: LLM không sinh số, chỉ chọn món trong candidates, ngưỡng do rule engine theo văn bản Bộ Y tế, chuyên gia duyệt 100%. Train: Gemini API trả phí 'không dùng prompt/response để cải thiện sản phẩm' (ai.google.dev/gemini-api/terms); OpenAI API không train trừ khi opt-in, lưu log tối đa 30 ngày (developers.openai.com/api/docs/guides/your-data), kiểm tra 08/10/2026; PII được che trước khi gửi, embedding chạy cục bộ. Startup dừng: CHƯA có cam kết bàn giao dữ liệu</t>
        </is>
      </c>
      <c r="D24" s="41" t="inlineStr">
        <is>
          <t>Linh · viết điều khoản bàn giao/xuất dữ liệu cho đối tác + đánh giá chuyển dữ liệu sức khoẻ ra nước ngoài (server Singapore) trước 20/10/2026</t>
        </is>
      </c>
    </row>
    <row r="25" ht="33.75" customHeight="1" s="45">
      <c r="A25" s="14" t="inlineStr">
        <is>
          <t>3. Pilot Report</t>
        </is>
      </c>
      <c r="B25" s="41" t="inlineStr">
        <is>
          <t>Chưa</t>
        </is>
      </c>
      <c r="C25" s="41" t="inlineStr">
        <is>
          <t>Cần: '4 tuần, 20 người bệnh, ~80 thực đơn, tỷ lệ duyệt nguyên bản __%, tiết kiệm __ phút/thực đơn'</t>
        </is>
      </c>
      <c r="D25" s="41" t="inlineStr">
        <is>
          <t>Linh · sau pilot tháng 1, hạn 15/11/2026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Làm sau — nhờ nhóm khác đọc ở buổi học tới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Làm sau — nhờ nhóm khác đọc ở buổi học tới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Làm sau — nhờ nhóm khác đọc ở buổi học tới</t>
        </is>
      </c>
    </row>
    <row r="32" ht="15.75" customHeight="1" s="45">
      <c r="A32" s="14" t="inlineStr">
        <is>
          <t>Số câu họ phải hỏi lại (mục tiêu ≤ 3)</t>
        </is>
      </c>
      <c r="B32" s="5" t="inlineStr">
        <is>
          <t>Làm sau — điền sau buổi học tới</t>
        </is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08/10/2026</t>
        </is>
      </c>
      <c r="D3" s="17" t="inlineStr">
        <is>
          <t>Bắt buộc điền — Rubric có chấm mục này</t>
        </is>
      </c>
      <c r="F3" s="48" t="inlineStr">
        <is>
          <t>Đã mở lại: Gemini 3.5 Flash-Lite $0,30/$2,50, cache $0,03 · gpt-4o-mini $0,15/$0,60 · GPT-5.6 Sol nay $2,00/$12,00 (bảng ghi 4/20 đã cũ) · Claude Haiku 4.5 $1/$5 không đổi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2026-10-08T15:56:34Z</dcterms:modified>
</cp:coreProperties>
</file>